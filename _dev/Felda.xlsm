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2.xml" ContentType="application/vnd.openxmlformats-officedocument.drawing+xml"/>
  <Override PartName="/xl/activeX/activeX1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ri\Desktop\Programming\_ALT\VBA\"/>
    </mc:Choice>
  </mc:AlternateContent>
  <xr:revisionPtr revIDLastSave="0" documentId="13_ncr:1_{F9BC456A-A5CC-43CE-A086-E276783AD49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Game" sheetId="1" r:id="rId1"/>
    <sheet name="Fel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" i="1" l="1"/>
  <c r="G11" i="2"/>
  <c r="G12" i="2"/>
  <c r="G13" i="2"/>
  <c r="H13" i="2" s="1"/>
  <c r="G14" i="2"/>
  <c r="G15" i="2"/>
  <c r="G16" i="2"/>
  <c r="G17" i="2"/>
  <c r="G18" i="2"/>
  <c r="G19" i="2"/>
  <c r="G20" i="2"/>
  <c r="G21" i="2"/>
  <c r="H21" i="2" s="1"/>
  <c r="G22" i="2"/>
  <c r="G23" i="2"/>
  <c r="G24" i="2"/>
  <c r="G25" i="2"/>
  <c r="G10" i="2"/>
  <c r="H17" i="2"/>
  <c r="H25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10" i="2"/>
  <c r="J13" i="2"/>
  <c r="J14" i="2"/>
  <c r="J18" i="2"/>
  <c r="J20" i="2"/>
  <c r="J24" i="2"/>
  <c r="J25" i="2"/>
  <c r="B36" i="2"/>
  <c r="J16" i="2" s="1"/>
  <c r="H5" i="2"/>
  <c r="H11" i="2" s="1"/>
  <c r="H22" i="2" l="1"/>
  <c r="H14" i="2"/>
  <c r="J22" i="2"/>
  <c r="J17" i="2"/>
  <c r="J12" i="2"/>
  <c r="J10" i="2"/>
  <c r="J21" i="2"/>
  <c r="H10" i="2"/>
  <c r="H18" i="2"/>
  <c r="H24" i="2"/>
  <c r="H20" i="2"/>
  <c r="H16" i="2"/>
  <c r="H12" i="2"/>
  <c r="K25" i="2"/>
  <c r="J23" i="2"/>
  <c r="K23" i="2" s="1"/>
  <c r="J19" i="2"/>
  <c r="K19" i="2" s="1"/>
  <c r="J15" i="2"/>
  <c r="K15" i="2" s="1"/>
  <c r="J11" i="2"/>
  <c r="H23" i="2"/>
  <c r="H19" i="2"/>
  <c r="H15" i="2"/>
  <c r="K10" i="2"/>
  <c r="K11" i="2"/>
  <c r="K12" i="2"/>
  <c r="K13" i="2"/>
  <c r="K14" i="2"/>
  <c r="K16" i="2"/>
  <c r="K17" i="2"/>
  <c r="K18" i="2"/>
  <c r="K20" i="2"/>
  <c r="K21" i="2"/>
  <c r="K22" i="2"/>
  <c r="K24" i="2"/>
</calcChain>
</file>

<file path=xl/sharedStrings.xml><?xml version="1.0" encoding="utf-8"?>
<sst xmlns="http://schemas.openxmlformats.org/spreadsheetml/2006/main" count="60" uniqueCount="58">
  <si>
    <t>šedé buňky = vzorce → NEMĚNIT!</t>
  </si>
  <si>
    <t>VÝKONOVÉ CHARAKTERISTIKY</t>
  </si>
  <si>
    <t>RŮZNÉ</t>
  </si>
  <si>
    <t>hmotnost:</t>
  </si>
  <si>
    <t>kg</t>
  </si>
  <si>
    <t>f [RPM]</t>
  </si>
  <si>
    <t>T max [N·m]</t>
  </si>
  <si>
    <t>T diss</t>
  </si>
  <si>
    <t>T zdroj</t>
  </si>
  <si>
    <t>T model</t>
  </si>
  <si>
    <t>P [kW]</t>
  </si>
  <si>
    <t xml:space="preserve"> Příkon [kW]</t>
  </si>
  <si>
    <t>lineární odpor:</t>
  </si>
  <si>
    <t>N</t>
  </si>
  <si>
    <t>kvadratický odpor:</t>
  </si>
  <si>
    <t>N*s2/m2</t>
  </si>
  <si>
    <t>PŘEVODOVKA</t>
  </si>
  <si>
    <t>r [m]</t>
  </si>
  <si>
    <t>fix</t>
  </si>
  <si>
    <t>R</t>
  </si>
  <si>
    <t>KONSTANTY</t>
  </si>
  <si>
    <t>λ</t>
  </si>
  <si>
    <t>R [J/K/mol]</t>
  </si>
  <si>
    <t>p [kPa]</t>
  </si>
  <si>
    <t>Tdiss under 500 RPM</t>
  </si>
  <si>
    <t>V [l]</t>
  </si>
  <si>
    <t>N*m</t>
  </si>
  <si>
    <t>T sání [K]</t>
  </si>
  <si>
    <t>Tdiss over 8000 RPM</t>
  </si>
  <si>
    <t>ΔHsp [kJ/g]</t>
  </si>
  <si>
    <t>x O2</t>
  </si>
  <si>
    <t>stechiometrie</t>
  </si>
  <si>
    <t>M oktan [g/mol]</t>
  </si>
  <si>
    <t>rho [g/l]</t>
  </si>
  <si>
    <t>m fuel / cycle [g]</t>
  </si>
  <si>
    <t>PLYN:</t>
  </si>
  <si>
    <t>Pozn.: tento plyn je jen pro graf a nepromítne se do hry</t>
  </si>
  <si>
    <t>účinnost</t>
  </si>
  <si>
    <t>modrý text = data vycucaná z prstu</t>
  </si>
  <si>
    <t>Rychlost</t>
  </si>
  <si>
    <t>Otáčky</t>
  </si>
  <si>
    <t>Převod</t>
  </si>
  <si>
    <t>km/h</t>
  </si>
  <si>
    <t>RPM</t>
  </si>
  <si>
    <t>km/h/s</t>
  </si>
  <si>
    <t>kW</t>
  </si>
  <si>
    <t>N·m</t>
  </si>
  <si>
    <t>l / 100km</t>
  </si>
  <si>
    <t>km</t>
  </si>
  <si>
    <t>ŘADÍCÍ PÁKA:</t>
  </si>
  <si>
    <t>PLYNOVÝ PEDÁL:</t>
  </si>
  <si>
    <t>Zrychlení</t>
  </si>
  <si>
    <t>Výkon</t>
  </si>
  <si>
    <t>Krouťák</t>
  </si>
  <si>
    <t>Spotřeba</t>
  </si>
  <si>
    <t>Uplynulý čas</t>
  </si>
  <si>
    <t>Ujetá vzdálenost</t>
  </si>
  <si>
    <t>Průměrná rychlost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</si>
</sst>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&quot; &quot;[$€-407];[Red]&quot;-&quot;#,##0.00&quot; &quot;[$€-407]"/>
    <numFmt numFmtId="166" formatCode="0.0"/>
    <numFmt numFmtId="167" formatCode="[$-F400]h:mm:ss\ AM/PM"/>
  </numFmts>
  <fonts count="9" x14ac:knownFonts="1">
    <font>
      <sz val="11"/>
      <color theme="1"/>
      <name val="Arial"/>
      <family val="2"/>
      <charset val="238"/>
    </font>
    <font>
      <sz val="11"/>
      <color theme="1"/>
      <name val="Calibri"/>
      <family val="2"/>
      <scheme val="minor"/>
    </font>
    <font>
      <b/>
      <i/>
      <sz val="16"/>
      <color theme="1"/>
      <name val="Arial"/>
      <family val="2"/>
      <charset val="238"/>
    </font>
    <font>
      <b/>
      <i/>
      <u/>
      <sz val="11"/>
      <color theme="1"/>
      <name val="Arial"/>
      <family val="2"/>
      <charset val="238"/>
    </font>
    <font>
      <i/>
      <sz val="11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0"/>
      <name val="Arial"/>
      <family val="2"/>
      <charset val="238"/>
    </font>
    <font>
      <sz val="11"/>
      <color theme="4"/>
      <name val="Arial"/>
      <family val="2"/>
      <charset val="238"/>
    </font>
    <font>
      <sz val="11"/>
      <color theme="2" tint="-0.249977111117893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EEEEEE"/>
      </patternFill>
    </fill>
    <fill>
      <patternFill patternType="solid">
        <fgColor theme="2"/>
        <bgColor rgb="FFEEEEEE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5" fontId="3" fillId="0" borderId="0"/>
  </cellStyleXfs>
  <cellXfs count="56">
    <xf numFmtId="0" fontId="0" fillId="0" borderId="0" xfId="0"/>
    <xf numFmtId="1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Font="1"/>
    <xf numFmtId="0" fontId="0" fillId="0" borderId="3" xfId="0" applyBorder="1" applyAlignment="1">
      <alignment horizontal="right"/>
    </xf>
    <xf numFmtId="164" fontId="0" fillId="0" borderId="4" xfId="0" applyNumberFormat="1" applyBorder="1"/>
    <xf numFmtId="0" fontId="0" fillId="0" borderId="1" xfId="0" applyBorder="1" applyAlignment="1">
      <alignment horizontal="right"/>
    </xf>
    <xf numFmtId="164" fontId="0" fillId="0" borderId="2" xfId="0" applyNumberFormat="1" applyBorder="1"/>
    <xf numFmtId="0" fontId="0" fillId="0" borderId="4" xfId="0" applyBorder="1"/>
    <xf numFmtId="1" fontId="0" fillId="0" borderId="2" xfId="0" applyNumberFormat="1" applyBorder="1"/>
    <xf numFmtId="0" fontId="0" fillId="0" borderId="2" xfId="0" applyBorder="1"/>
    <xf numFmtId="0" fontId="0" fillId="0" borderId="1" xfId="0" applyBorder="1"/>
    <xf numFmtId="0" fontId="4" fillId="0" borderId="0" xfId="0" applyFont="1"/>
    <xf numFmtId="0" fontId="6" fillId="0" borderId="0" xfId="0" applyFont="1" applyAlignment="1">
      <alignment horizontal="right"/>
    </xf>
    <xf numFmtId="9" fontId="6" fillId="0" borderId="0" xfId="0" applyNumberFormat="1" applyFont="1"/>
    <xf numFmtId="9" fontId="0" fillId="0" borderId="0" xfId="1" applyFont="1"/>
    <xf numFmtId="1" fontId="4" fillId="3" borderId="0" xfId="0" applyNumberFormat="1" applyFont="1" applyFill="1" applyBorder="1"/>
    <xf numFmtId="1" fontId="0" fillId="0" borderId="0" xfId="0" applyNumberFormat="1" applyFill="1" applyBorder="1"/>
    <xf numFmtId="9" fontId="4" fillId="4" borderId="11" xfId="1" applyNumberFormat="1" applyFont="1" applyFill="1" applyBorder="1"/>
    <xf numFmtId="1" fontId="0" fillId="0" borderId="10" xfId="0" applyNumberFormat="1" applyFill="1" applyBorder="1"/>
    <xf numFmtId="1" fontId="4" fillId="3" borderId="13" xfId="0" applyNumberFormat="1" applyFont="1" applyFill="1" applyBorder="1"/>
    <xf numFmtId="9" fontId="4" fillId="4" borderId="14" xfId="1" applyNumberFormat="1" applyFont="1" applyFill="1" applyBorder="1"/>
    <xf numFmtId="0" fontId="0" fillId="0" borderId="15" xfId="0" applyFont="1" applyBorder="1"/>
    <xf numFmtId="0" fontId="0" fillId="0" borderId="16" xfId="0" applyFont="1" applyBorder="1"/>
    <xf numFmtId="0" fontId="4" fillId="3" borderId="16" xfId="0" applyFont="1" applyFill="1" applyBorder="1"/>
    <xf numFmtId="0" fontId="4" fillId="3" borderId="17" xfId="0" applyFont="1" applyFill="1" applyBorder="1"/>
    <xf numFmtId="0" fontId="4" fillId="3" borderId="5" xfId="0" applyFont="1" applyFill="1" applyBorder="1"/>
    <xf numFmtId="11" fontId="4" fillId="3" borderId="6" xfId="0" applyNumberFormat="1" applyFont="1" applyFill="1" applyBorder="1"/>
    <xf numFmtId="1" fontId="4" fillId="3" borderId="8" xfId="0" applyNumberFormat="1" applyFont="1" applyFill="1" applyBorder="1"/>
    <xf numFmtId="9" fontId="4" fillId="4" borderId="9" xfId="1" applyNumberFormat="1" applyFont="1" applyFill="1" applyBorder="1"/>
    <xf numFmtId="1" fontId="7" fillId="0" borderId="10" xfId="0" applyNumberFormat="1" applyFont="1" applyFill="1" applyBorder="1"/>
    <xf numFmtId="1" fontId="7" fillId="0" borderId="0" xfId="0" applyNumberFormat="1" applyFont="1" applyFill="1" applyBorder="1"/>
    <xf numFmtId="1" fontId="7" fillId="0" borderId="12" xfId="0" applyNumberFormat="1" applyFont="1" applyFill="1" applyBorder="1"/>
    <xf numFmtId="1" fontId="7" fillId="0" borderId="13" xfId="0" applyNumberFormat="1" applyFont="1" applyFill="1" applyBorder="1"/>
    <xf numFmtId="1" fontId="7" fillId="0" borderId="8" xfId="0" applyNumberFormat="1" applyFont="1" applyFill="1" applyBorder="1"/>
    <xf numFmtId="1" fontId="7" fillId="0" borderId="7" xfId="0" applyNumberFormat="1" applyFont="1" applyFill="1" applyBorder="1"/>
    <xf numFmtId="0" fontId="8" fillId="0" borderId="5" xfId="0" applyFont="1" applyFill="1" applyBorder="1" applyAlignment="1">
      <alignment horizontal="right"/>
    </xf>
    <xf numFmtId="164" fontId="8" fillId="0" borderId="6" xfId="0" applyNumberFormat="1" applyFont="1" applyFill="1" applyBorder="1"/>
    <xf numFmtId="0" fontId="0" fillId="0" borderId="9" xfId="0" applyBorder="1"/>
    <xf numFmtId="0" fontId="0" fillId="0" borderId="11" xfId="0" applyBorder="1"/>
    <xf numFmtId="0" fontId="0" fillId="0" borderId="14" xfId="0" applyBorder="1"/>
    <xf numFmtId="0" fontId="6" fillId="0" borderId="0" xfId="0" applyFont="1"/>
    <xf numFmtId="0" fontId="0" fillId="0" borderId="7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2" xfId="0" applyBorder="1" applyAlignment="1">
      <alignment horizontal="right"/>
    </xf>
    <xf numFmtId="166" fontId="0" fillId="0" borderId="0" xfId="0" applyNumberFormat="1" applyBorder="1"/>
    <xf numFmtId="1" fontId="0" fillId="0" borderId="0" xfId="0" applyNumberFormat="1" applyBorder="1"/>
    <xf numFmtId="1" fontId="0" fillId="0" borderId="8" xfId="0" applyNumberFormat="1" applyBorder="1"/>
    <xf numFmtId="1" fontId="0" fillId="0" borderId="13" xfId="0" applyNumberFormat="1" applyBorder="1"/>
    <xf numFmtId="164" fontId="0" fillId="0" borderId="0" xfId="0" applyNumberFormat="1" applyBorder="1"/>
    <xf numFmtId="167" fontId="0" fillId="0" borderId="0" xfId="0" applyNumberFormat="1" applyBorder="1"/>
    <xf numFmtId="0" fontId="7" fillId="0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</cellXfs>
  <cellStyles count="6">
    <cellStyle name="Heading" xfId="2" xr:uid="{00000000-0005-0000-0000-000000000000}"/>
    <cellStyle name="Heading1" xfId="3" xr:uid="{00000000-0005-0000-0000-000001000000}"/>
    <cellStyle name="Normal" xfId="0" builtinId="0" customBuiltin="1"/>
    <cellStyle name="Percent" xfId="1" builtinId="5"/>
    <cellStyle name="Result" xfId="4" xr:uid="{00000000-0005-0000-0000-000004000000}"/>
    <cellStyle name="Result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Feldata!$D$10:$D$25</c:f>
              <c:numCache>
                <c:formatCode>0</c:formatCode>
                <c:ptCount val="16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</c:numCache>
            </c:numRef>
          </c:xVal>
          <c:yVal>
            <c:numRef>
              <c:f>Feldata!$H$10:$H$25</c:f>
              <c:numCache>
                <c:formatCode>0</c:formatCode>
                <c:ptCount val="16"/>
                <c:pt idx="0">
                  <c:v>55</c:v>
                </c:pt>
                <c:pt idx="1">
                  <c:v>78</c:v>
                </c:pt>
                <c:pt idx="2">
                  <c:v>83</c:v>
                </c:pt>
                <c:pt idx="3">
                  <c:v>88</c:v>
                </c:pt>
                <c:pt idx="4">
                  <c:v>93</c:v>
                </c:pt>
                <c:pt idx="5">
                  <c:v>97</c:v>
                </c:pt>
                <c:pt idx="6">
                  <c:v>102</c:v>
                </c:pt>
                <c:pt idx="7">
                  <c:v>105</c:v>
                </c:pt>
                <c:pt idx="8">
                  <c:v>102</c:v>
                </c:pt>
                <c:pt idx="9">
                  <c:v>95</c:v>
                </c:pt>
                <c:pt idx="10">
                  <c:v>81</c:v>
                </c:pt>
                <c:pt idx="11">
                  <c:v>70</c:v>
                </c:pt>
                <c:pt idx="12">
                  <c:v>57</c:v>
                </c:pt>
                <c:pt idx="13">
                  <c:v>41</c:v>
                </c:pt>
                <c:pt idx="14">
                  <c:v>23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DA-4FA2-BEC6-EC9C1FFCA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274912"/>
        <c:axId val="584272288"/>
      </c:scatterChart>
      <c:valAx>
        <c:axId val="584274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272288"/>
        <c:crosses val="autoZero"/>
        <c:crossBetween val="midCat"/>
      </c:valAx>
      <c:valAx>
        <c:axId val="58427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[N.m]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274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1"/>
    <xdr:ext cx="4524375" cy="145732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1"/>
          <a:ext cx="4524375" cy="1457324"/>
        </a:xfrm>
        <a:prstGeom prst="rect">
          <a:avLst/>
        </a:prstGeom>
        <a:solidFill>
          <a:srgbClr val="FFFFFF"/>
        </a:solidFill>
        <a:ln w="18000">
          <a:solidFill>
            <a:srgbClr val="000000"/>
          </a:solidFill>
          <a:prstDash val="solid"/>
        </a:ln>
      </xdr:spPr>
      <xdr:txBody>
        <a:bodyPr vert="horz" wrap="none" lIns="0" tIns="0" rIns="0" bIns="0" compatLnSpc="0"/>
        <a:lstStyle/>
        <a:p>
          <a:pPr lvl="0" algn="ctr" rtl="0" hangingPunct="0">
            <a:buNone/>
            <a:tabLst/>
          </a:pPr>
          <a:r>
            <a:rPr lang="de-DE" sz="3600" kern="120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FELDA SIMULÁTOR</a:t>
          </a:r>
        </a:p>
        <a:p>
          <a:pPr lvl="0" algn="ctr" rtl="0" hangingPunct="0">
            <a:buNone/>
            <a:tabLst/>
          </a:pPr>
          <a:r>
            <a:rPr lang="de-DE" sz="1600" kern="120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MOST EXCELLENT EDITION</a:t>
          </a:r>
        </a:p>
        <a:p>
          <a:pPr lvl="0" algn="ctr" rtl="0" hangingPunct="0">
            <a:buNone/>
            <a:tabLst/>
          </a:pPr>
          <a:r>
            <a:rPr lang="de-DE" sz="1100" kern="120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v</a:t>
          </a:r>
          <a:r>
            <a:rPr lang="de-DE" sz="1100" kern="1200" baseline="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 tomto listu nic neměňte,</a:t>
          </a:r>
        </a:p>
        <a:p>
          <a:pPr lvl="0" algn="ctr" rtl="0" hangingPunct="0">
            <a:buNone/>
            <a:tabLst/>
          </a:pPr>
          <a:r>
            <a:rPr lang="de-DE" sz="1100" kern="1200" baseline="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jen klikejte na ovládací prvky!</a:t>
          </a:r>
        </a:p>
        <a:p>
          <a:pPr lvl="0" algn="ctr" rtl="0" hangingPunct="0">
            <a:buNone/>
            <a:tabLst/>
          </a:pPr>
          <a:r>
            <a:rPr lang="de-DE" sz="1100" kern="1200" baseline="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Nejprve povolte makra,</a:t>
          </a:r>
        </a:p>
        <a:p>
          <a:pPr lvl="0" algn="ctr" rtl="0" hangingPunct="0">
            <a:buNone/>
            <a:tabLst/>
          </a:pPr>
          <a:r>
            <a:rPr lang="de-DE" sz="1100" kern="1200" baseline="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hra začne po odškrtnutí pauzy</a:t>
          </a:r>
          <a:endParaRPr lang="de-DE" sz="1100" kern="1200">
            <a:latin typeface="Courier New" panose="02070309020205020404" pitchFamily="49" charset="0"/>
            <a:ea typeface="Segoe UI" pitchFamily="2"/>
            <a:cs typeface="Courier New" panose="02070309020205020404" pitchFamily="49" charset="0"/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14</xdr:row>
          <xdr:rowOff>19050</xdr:rowOff>
        </xdr:from>
        <xdr:to>
          <xdr:col>4</xdr:col>
          <xdr:colOff>180975</xdr:colOff>
          <xdr:row>15</xdr:row>
          <xdr:rowOff>161925</xdr:rowOff>
        </xdr:to>
        <xdr:sp macro="" textlink="">
          <xdr:nvSpPr>
            <xdr:cNvPr id="2052" name="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16</xdr:row>
          <xdr:rowOff>133350</xdr:rowOff>
        </xdr:from>
        <xdr:to>
          <xdr:col>4</xdr:col>
          <xdr:colOff>152400</xdr:colOff>
          <xdr:row>18</xdr:row>
          <xdr:rowOff>95250</xdr:rowOff>
        </xdr:to>
        <xdr:sp macro="" textlink="">
          <xdr:nvSpPr>
            <xdr:cNvPr id="2053" name="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</xdr:row>
          <xdr:rowOff>9525</xdr:rowOff>
        </xdr:from>
        <xdr:to>
          <xdr:col>4</xdr:col>
          <xdr:colOff>571500</xdr:colOff>
          <xdr:row>15</xdr:row>
          <xdr:rowOff>152400</xdr:rowOff>
        </xdr:to>
        <xdr:sp macro="" textlink="">
          <xdr:nvSpPr>
            <xdr:cNvPr id="2054" name="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16</xdr:row>
          <xdr:rowOff>133350</xdr:rowOff>
        </xdr:from>
        <xdr:to>
          <xdr:col>4</xdr:col>
          <xdr:colOff>542925</xdr:colOff>
          <xdr:row>18</xdr:row>
          <xdr:rowOff>95250</xdr:rowOff>
        </xdr:to>
        <xdr:sp macro="" textlink="">
          <xdr:nvSpPr>
            <xdr:cNvPr id="2056" name="button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14</xdr:row>
          <xdr:rowOff>38100</xdr:rowOff>
        </xdr:from>
        <xdr:to>
          <xdr:col>5</xdr:col>
          <xdr:colOff>247650</xdr:colOff>
          <xdr:row>16</xdr:row>
          <xdr:rowOff>0</xdr:rowOff>
        </xdr:to>
        <xdr:sp macro="" textlink="">
          <xdr:nvSpPr>
            <xdr:cNvPr id="2057" name="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16</xdr:row>
          <xdr:rowOff>133350</xdr:rowOff>
        </xdr:from>
        <xdr:to>
          <xdr:col>5</xdr:col>
          <xdr:colOff>285750</xdr:colOff>
          <xdr:row>18</xdr:row>
          <xdr:rowOff>95250</xdr:rowOff>
        </xdr:to>
        <xdr:sp macro="" textlink="">
          <xdr:nvSpPr>
            <xdr:cNvPr id="2058" name="uselessButt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7</xdr:col>
          <xdr:colOff>9525</xdr:colOff>
          <xdr:row>10</xdr:row>
          <xdr:rowOff>28575</xdr:rowOff>
        </xdr:to>
        <xdr:sp macro="" textlink="">
          <xdr:nvSpPr>
            <xdr:cNvPr id="2059" name="gasBar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12</xdr:row>
          <xdr:rowOff>161925</xdr:rowOff>
        </xdr:from>
        <xdr:to>
          <xdr:col>8</xdr:col>
          <xdr:colOff>381000</xdr:colOff>
          <xdr:row>15</xdr:row>
          <xdr:rowOff>0</xdr:rowOff>
        </xdr:to>
        <xdr:sp macro="" textlink="">
          <xdr:nvSpPr>
            <xdr:cNvPr id="2060" name="startButt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3</xdr:row>
          <xdr:rowOff>19050</xdr:rowOff>
        </xdr:from>
        <xdr:to>
          <xdr:col>7</xdr:col>
          <xdr:colOff>561975</xdr:colOff>
          <xdr:row>4</xdr:row>
          <xdr:rowOff>123825</xdr:rowOff>
        </xdr:to>
        <xdr:sp macro="" textlink="">
          <xdr:nvSpPr>
            <xdr:cNvPr id="2061" name="pauseBox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17</xdr:row>
          <xdr:rowOff>19050</xdr:rowOff>
        </xdr:from>
        <xdr:to>
          <xdr:col>7</xdr:col>
          <xdr:colOff>419100</xdr:colOff>
          <xdr:row>18</xdr:row>
          <xdr:rowOff>161925</xdr:rowOff>
        </xdr:to>
        <xdr:sp macro="" textlink="">
          <xdr:nvSpPr>
            <xdr:cNvPr id="2062" name="nitroBox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104776" y="3762376"/>
    <xdr:ext cx="2790824" cy="85725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71BC548-0F88-4068-807E-E202C9D6A4C9}"/>
            </a:ext>
          </a:extLst>
        </xdr:cNvPr>
        <xdr:cNvSpPr txBox="1"/>
      </xdr:nvSpPr>
      <xdr:spPr>
        <a:xfrm>
          <a:off x="104776" y="3762376"/>
          <a:ext cx="2790824" cy="857250"/>
        </a:xfrm>
        <a:prstGeom prst="rect">
          <a:avLst/>
        </a:prstGeom>
        <a:solidFill>
          <a:srgbClr val="FFFFFF"/>
        </a:solidFill>
        <a:ln w="18000">
          <a:solidFill>
            <a:srgbClr val="000000"/>
          </a:solidFill>
          <a:prstDash val="solid"/>
        </a:ln>
      </xdr:spPr>
      <xdr:txBody>
        <a:bodyPr vert="horz" wrap="none" lIns="0" tIns="0" rIns="0" bIns="0" compatLnSpc="0"/>
        <a:lstStyle/>
        <a:p>
          <a:pPr lvl="0" algn="ctr" rtl="0" hangingPunct="0">
            <a:buNone/>
            <a:tabLst/>
          </a:pPr>
          <a:r>
            <a:rPr lang="de-DE" sz="1600" b="1" u="sng" kern="120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known issues:</a:t>
          </a:r>
        </a:p>
        <a:p>
          <a:pPr lvl="0" algn="ctr" rtl="0" hangingPunct="0">
            <a:buNone/>
            <a:tabLst/>
          </a:pPr>
          <a:r>
            <a:rPr lang="de-DE" sz="1100" kern="120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neotvírejte žádný další excel</a:t>
          </a:r>
        </a:p>
        <a:p>
          <a:pPr lvl="0" algn="ctr" rtl="0" hangingPunct="0">
            <a:buNone/>
            <a:tabLst/>
          </a:pPr>
          <a:r>
            <a:rPr lang="de-DE" sz="1100" kern="120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dokument, jinak se Felda.xlsm</a:t>
          </a:r>
        </a:p>
        <a:p>
          <a:pPr lvl="0" algn="ctr" rtl="0" hangingPunct="0">
            <a:buNone/>
            <a:tabLst/>
          </a:pPr>
          <a:r>
            <a:rPr lang="de-DE" sz="1100" kern="120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nebude dát zavřít,</a:t>
          </a:r>
          <a:r>
            <a:rPr lang="de-DE" sz="1100" kern="1200" baseline="0">
              <a:latin typeface="Courier New" panose="02070309020205020404" pitchFamily="49" charset="0"/>
              <a:ea typeface="Segoe UI" pitchFamily="2"/>
              <a:cs typeface="Courier New" panose="02070309020205020404" pitchFamily="49" charset="0"/>
            </a:rPr>
            <a:t> lol xD</a:t>
          </a:r>
          <a:endParaRPr lang="de-DE" sz="400" kern="1200">
            <a:latin typeface="Courier New" panose="02070309020205020404" pitchFamily="49" charset="0"/>
            <a:ea typeface="Segoe UI" pitchFamily="2"/>
            <a:cs typeface="Courier New" panose="02070309020205020404" pitchFamily="49" charset="0"/>
          </a:endParaRP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4499280" cy="65988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0"/>
          <a:ext cx="4499280" cy="659880"/>
        </a:xfrm>
        <a:prstGeom prst="rect">
          <a:avLst/>
        </a:prstGeom>
        <a:solidFill>
          <a:srgbClr val="FFFFFF"/>
        </a:solidFill>
        <a:ln w="18000">
          <a:solidFill>
            <a:srgbClr val="000000"/>
          </a:solidFill>
          <a:prstDash val="solid"/>
        </a:ln>
      </xdr:spPr>
      <xdr:txBody>
        <a:bodyPr vert="horz" wrap="none" lIns="0" tIns="0" rIns="0" bIns="0" compatLnSpc="0"/>
        <a:lstStyle/>
        <a:p>
          <a:pPr lvl="0" algn="ctr" rtl="0" hangingPunct="0">
            <a:buNone/>
            <a:tabLst/>
          </a:pPr>
          <a:endParaRPr lang="de-DE" sz="1100" kern="1200">
            <a:latin typeface="Times New Roman" pitchFamily="18"/>
            <a:ea typeface="Segoe UI" pitchFamily="2"/>
            <a:cs typeface="Tahoma" pitchFamily="2"/>
          </a:endParaRPr>
        </a:p>
        <a:p>
          <a:pPr lvl="0" algn="ctr" rtl="0" hangingPunct="0">
            <a:buNone/>
            <a:tabLst/>
          </a:pPr>
          <a:r>
            <a:rPr lang="de-DE" sz="1600" kern="1200">
              <a:latin typeface="Times New Roman" pitchFamily="18"/>
              <a:ea typeface="Segoe UI" pitchFamily="2"/>
              <a:cs typeface="Tahoma" pitchFamily="2"/>
            </a:rPr>
            <a:t>Tento list obsahuje data pro Felda Simulátor.</a:t>
          </a:r>
          <a:br>
            <a:rPr lang="de-DE" sz="1600" kern="1200">
              <a:latin typeface="Times New Roman" pitchFamily="18"/>
              <a:ea typeface="Segoe UI" pitchFamily="2"/>
              <a:cs typeface="Tahoma" pitchFamily="2"/>
            </a:rPr>
          </a:br>
          <a:r>
            <a:rPr lang="de-DE" sz="1600" kern="1200">
              <a:latin typeface="Times New Roman" pitchFamily="18"/>
              <a:ea typeface="Segoe UI" pitchFamily="2"/>
              <a:cs typeface="Tahoma" pitchFamily="2"/>
            </a:rPr>
            <a:t>Můžete zkusit Feldu vytunit, ale na vlastní riziko!</a:t>
          </a: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152400</xdr:rowOff>
        </xdr:from>
        <xdr:to>
          <xdr:col>8</xdr:col>
          <xdr:colOff>0</xdr:colOff>
          <xdr:row>5</xdr:row>
          <xdr:rowOff>19050</xdr:rowOff>
        </xdr:to>
        <xdr:sp macro="" textlink="">
          <xdr:nvSpPr>
            <xdr:cNvPr id="1026" name="Scroll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61912</xdr:colOff>
      <xdr:row>7</xdr:row>
      <xdr:rowOff>180975</xdr:rowOff>
    </xdr:from>
    <xdr:to>
      <xdr:col>18</xdr:col>
      <xdr:colOff>495300</xdr:colOff>
      <xdr:row>26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18"/>
  <sheetViews>
    <sheetView tabSelected="1" zoomScaleNormal="100" workbookViewId="0">
      <selection activeCell="G25" sqref="G25"/>
    </sheetView>
  </sheetViews>
  <sheetFormatPr defaultRowHeight="14.25" x14ac:dyDescent="0.2"/>
  <cols>
    <col min="1" max="1" width="16.75" customWidth="1"/>
  </cols>
  <sheetData>
    <row r="9" spans="1:8" ht="15" x14ac:dyDescent="0.25">
      <c r="A9" s="45" t="s">
        <v>41</v>
      </c>
      <c r="B9" s="50"/>
      <c r="C9" s="41"/>
      <c r="E9" s="5" t="s">
        <v>50</v>
      </c>
    </row>
    <row r="10" spans="1:8" x14ac:dyDescent="0.2">
      <c r="A10" s="46" t="s">
        <v>39</v>
      </c>
      <c r="B10" s="49"/>
      <c r="C10" s="42" t="s">
        <v>42</v>
      </c>
      <c r="G10" s="44">
        <v>0</v>
      </c>
      <c r="H10" s="18">
        <f>G10/100</f>
        <v>0</v>
      </c>
    </row>
    <row r="11" spans="1:8" x14ac:dyDescent="0.2">
      <c r="A11" s="46" t="s">
        <v>40</v>
      </c>
      <c r="B11" s="49"/>
      <c r="C11" s="42" t="s">
        <v>43</v>
      </c>
    </row>
    <row r="12" spans="1:8" x14ac:dyDescent="0.2">
      <c r="A12" s="46" t="s">
        <v>51</v>
      </c>
      <c r="B12" s="48"/>
      <c r="C12" s="42" t="s">
        <v>44</v>
      </c>
    </row>
    <row r="13" spans="1:8" x14ac:dyDescent="0.2">
      <c r="A13" s="46" t="s">
        <v>52</v>
      </c>
      <c r="B13" s="49"/>
      <c r="C13" s="42" t="s">
        <v>45</v>
      </c>
    </row>
    <row r="14" spans="1:8" ht="15" x14ac:dyDescent="0.25">
      <c r="A14" s="46" t="s">
        <v>53</v>
      </c>
      <c r="B14" s="49"/>
      <c r="C14" s="42" t="s">
        <v>46</v>
      </c>
      <c r="E14" s="5" t="s">
        <v>49</v>
      </c>
    </row>
    <row r="15" spans="1:8" x14ac:dyDescent="0.2">
      <c r="A15" s="46" t="s">
        <v>54</v>
      </c>
      <c r="B15" s="48"/>
      <c r="C15" s="42" t="s">
        <v>47</v>
      </c>
    </row>
    <row r="16" spans="1:8" x14ac:dyDescent="0.2">
      <c r="A16" s="46" t="s">
        <v>55</v>
      </c>
      <c r="B16" s="53"/>
      <c r="C16" s="42"/>
    </row>
    <row r="17" spans="1:3" x14ac:dyDescent="0.2">
      <c r="A17" s="46" t="s">
        <v>56</v>
      </c>
      <c r="B17" s="52"/>
      <c r="C17" s="42" t="s">
        <v>48</v>
      </c>
    </row>
    <row r="18" spans="1:3" x14ac:dyDescent="0.2">
      <c r="A18" s="47" t="s">
        <v>57</v>
      </c>
      <c r="B18" s="51"/>
      <c r="C18" s="43" t="s">
        <v>42</v>
      </c>
    </row>
  </sheetData>
  <pageMargins left="0" right="0" top="0.39409448818897636" bottom="0.39409448818897636" header="0" footer="0"/>
  <headerFooter>
    <oddHeader>&amp;C&amp;A</oddHeader>
    <oddFooter>&amp;CPage &amp;P</oddFooter>
  </headerFooter>
  <drawing r:id="rId1"/>
  <legacyDrawing r:id="rId2"/>
  <controls>
    <mc:AlternateContent xmlns:mc="http://schemas.openxmlformats.org/markup-compatibility/2006">
      <mc:Choice Requires="x14">
        <control shapeId="2062" r:id="rId3" name="nitroBox">
          <controlPr defaultSize="0" autoLine="0" autoPict="0" r:id="rId4">
            <anchor moveWithCells="1">
              <from>
                <xdr:col>6</xdr:col>
                <xdr:colOff>361950</xdr:colOff>
                <xdr:row>17</xdr:row>
                <xdr:rowOff>19050</xdr:rowOff>
              </from>
              <to>
                <xdr:col>7</xdr:col>
                <xdr:colOff>419100</xdr:colOff>
                <xdr:row>18</xdr:row>
                <xdr:rowOff>161925</xdr:rowOff>
              </to>
            </anchor>
          </controlPr>
        </control>
      </mc:Choice>
      <mc:Fallback>
        <control shapeId="2062" r:id="rId3" name="nitroBox"/>
      </mc:Fallback>
    </mc:AlternateContent>
    <mc:AlternateContent xmlns:mc="http://schemas.openxmlformats.org/markup-compatibility/2006">
      <mc:Choice Requires="x14">
        <control shapeId="2061" r:id="rId5" name="pauseBox">
          <controlPr defaultSize="0" autoLine="0" r:id="rId6">
            <anchor moveWithCells="1">
              <from>
                <xdr:col>6</xdr:col>
                <xdr:colOff>361950</xdr:colOff>
                <xdr:row>3</xdr:row>
                <xdr:rowOff>19050</xdr:rowOff>
              </from>
              <to>
                <xdr:col>7</xdr:col>
                <xdr:colOff>561975</xdr:colOff>
                <xdr:row>4</xdr:row>
                <xdr:rowOff>123825</xdr:rowOff>
              </to>
            </anchor>
          </controlPr>
        </control>
      </mc:Choice>
      <mc:Fallback>
        <control shapeId="2061" r:id="rId5" name="pauseBox"/>
      </mc:Fallback>
    </mc:AlternateContent>
    <mc:AlternateContent xmlns:mc="http://schemas.openxmlformats.org/markup-compatibility/2006">
      <mc:Choice Requires="x14">
        <control shapeId="2060" r:id="rId7" name="startButton">
          <controlPr defaultSize="0" autoLine="0" r:id="rId8">
            <anchor moveWithCells="1">
              <from>
                <xdr:col>6</xdr:col>
                <xdr:colOff>619125</xdr:colOff>
                <xdr:row>12</xdr:row>
                <xdr:rowOff>161925</xdr:rowOff>
              </from>
              <to>
                <xdr:col>8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2060" r:id="rId7" name="startButton"/>
      </mc:Fallback>
    </mc:AlternateContent>
    <mc:AlternateContent xmlns:mc="http://schemas.openxmlformats.org/markup-compatibility/2006">
      <mc:Choice Requires="x14">
        <control shapeId="2059" r:id="rId9" name="gasBar">
          <controlPr defaultSize="0" autoLine="0" linkedCell="G10" r:id="rId10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7</xdr:col>
                <xdr:colOff>9525</xdr:colOff>
                <xdr:row>10</xdr:row>
                <xdr:rowOff>28575</xdr:rowOff>
              </to>
            </anchor>
          </controlPr>
        </control>
      </mc:Choice>
      <mc:Fallback>
        <control shapeId="2059" r:id="rId9" name="gasBar"/>
      </mc:Fallback>
    </mc:AlternateContent>
    <mc:AlternateContent xmlns:mc="http://schemas.openxmlformats.org/markup-compatibility/2006">
      <mc:Choice Requires="x14">
        <control shapeId="2058" r:id="rId11" name="uselessButton">
          <controlPr defaultSize="0" disabled="1" autoLine="0" r:id="rId12">
            <anchor moveWithCells="1">
              <from>
                <xdr:col>4</xdr:col>
                <xdr:colOff>666750</xdr:colOff>
                <xdr:row>16</xdr:row>
                <xdr:rowOff>133350</xdr:rowOff>
              </from>
              <to>
                <xdr:col>5</xdr:col>
                <xdr:colOff>285750</xdr:colOff>
                <xdr:row>18</xdr:row>
                <xdr:rowOff>95250</xdr:rowOff>
              </to>
            </anchor>
          </controlPr>
        </control>
      </mc:Choice>
      <mc:Fallback>
        <control shapeId="2058" r:id="rId11" name="uselessButton"/>
      </mc:Fallback>
    </mc:AlternateContent>
    <mc:AlternateContent xmlns:mc="http://schemas.openxmlformats.org/markup-compatibility/2006">
      <mc:Choice Requires="x14">
        <control shapeId="2057" r:id="rId13" name="button5">
          <controlPr defaultSize="0" autoLine="0" r:id="rId14">
            <anchor moveWithCells="1">
              <from>
                <xdr:col>4</xdr:col>
                <xdr:colOff>628650</xdr:colOff>
                <xdr:row>14</xdr:row>
                <xdr:rowOff>38100</xdr:rowOff>
              </from>
              <to>
                <xdr:col>5</xdr:col>
                <xdr:colOff>247650</xdr:colOff>
                <xdr:row>16</xdr:row>
                <xdr:rowOff>0</xdr:rowOff>
              </to>
            </anchor>
          </controlPr>
        </control>
      </mc:Choice>
      <mc:Fallback>
        <control shapeId="2057" r:id="rId13" name="button5"/>
      </mc:Fallback>
    </mc:AlternateContent>
    <mc:AlternateContent xmlns:mc="http://schemas.openxmlformats.org/markup-compatibility/2006">
      <mc:Choice Requires="x14">
        <control shapeId="2056" r:id="rId15" name="button4">
          <controlPr defaultSize="0" autoLine="0" r:id="rId16">
            <anchor moveWithCells="1">
              <from>
                <xdr:col>4</xdr:col>
                <xdr:colOff>238125</xdr:colOff>
                <xdr:row>16</xdr:row>
                <xdr:rowOff>133350</xdr:rowOff>
              </from>
              <to>
                <xdr:col>4</xdr:col>
                <xdr:colOff>542925</xdr:colOff>
                <xdr:row>18</xdr:row>
                <xdr:rowOff>95250</xdr:rowOff>
              </to>
            </anchor>
          </controlPr>
        </control>
      </mc:Choice>
      <mc:Fallback>
        <control shapeId="2056" r:id="rId15" name="button4"/>
      </mc:Fallback>
    </mc:AlternateContent>
    <mc:AlternateContent xmlns:mc="http://schemas.openxmlformats.org/markup-compatibility/2006">
      <mc:Choice Requires="x14">
        <control shapeId="2054" r:id="rId17" name="button3">
          <controlPr defaultSize="0" autoLine="0" r:id="rId18">
            <anchor moveWithCells="1">
              <from>
                <xdr:col>4</xdr:col>
                <xdr:colOff>266700</xdr:colOff>
                <xdr:row>14</xdr:row>
                <xdr:rowOff>9525</xdr:rowOff>
              </from>
              <to>
                <xdr:col>4</xdr:col>
                <xdr:colOff>571500</xdr:colOff>
                <xdr:row>15</xdr:row>
                <xdr:rowOff>152400</xdr:rowOff>
              </to>
            </anchor>
          </controlPr>
        </control>
      </mc:Choice>
      <mc:Fallback>
        <control shapeId="2054" r:id="rId17" name="button3"/>
      </mc:Fallback>
    </mc:AlternateContent>
    <mc:AlternateContent xmlns:mc="http://schemas.openxmlformats.org/markup-compatibility/2006">
      <mc:Choice Requires="x14">
        <control shapeId="2053" r:id="rId19" name="button2">
          <controlPr defaultSize="0" autoLine="0" r:id="rId20">
            <anchor moveWithCells="1">
              <from>
                <xdr:col>3</xdr:col>
                <xdr:colOff>533400</xdr:colOff>
                <xdr:row>16</xdr:row>
                <xdr:rowOff>133350</xdr:rowOff>
              </from>
              <to>
                <xdr:col>4</xdr:col>
                <xdr:colOff>152400</xdr:colOff>
                <xdr:row>18</xdr:row>
                <xdr:rowOff>95250</xdr:rowOff>
              </to>
            </anchor>
          </controlPr>
        </control>
      </mc:Choice>
      <mc:Fallback>
        <control shapeId="2053" r:id="rId19" name="button2"/>
      </mc:Fallback>
    </mc:AlternateContent>
    <mc:AlternateContent xmlns:mc="http://schemas.openxmlformats.org/markup-compatibility/2006">
      <mc:Choice Requires="x14">
        <control shapeId="2052" r:id="rId21" name="button1">
          <controlPr defaultSize="0" autoLine="0" r:id="rId22">
            <anchor moveWithCells="1">
              <from>
                <xdr:col>3</xdr:col>
                <xdr:colOff>561975</xdr:colOff>
                <xdr:row>14</xdr:row>
                <xdr:rowOff>19050</xdr:rowOff>
              </from>
              <to>
                <xdr:col>4</xdr:col>
                <xdr:colOff>180975</xdr:colOff>
                <xdr:row>15</xdr:row>
                <xdr:rowOff>161925</xdr:rowOff>
              </to>
            </anchor>
          </controlPr>
        </control>
      </mc:Choice>
      <mc:Fallback>
        <control shapeId="2052" r:id="rId21" name="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workbookViewId="0">
      <selection activeCell="B34" sqref="B34"/>
    </sheetView>
  </sheetViews>
  <sheetFormatPr defaultRowHeight="14.25" x14ac:dyDescent="0.2"/>
  <cols>
    <col min="1" max="1" width="15.25" customWidth="1"/>
    <col min="2" max="6" width="10.625" customWidth="1"/>
    <col min="7" max="7" width="13.25" customWidth="1"/>
    <col min="8" max="10" width="10.625" customWidth="1"/>
  </cols>
  <sheetData>
    <row r="1" spans="1:11" x14ac:dyDescent="0.2">
      <c r="G1" s="54" t="s">
        <v>38</v>
      </c>
      <c r="H1" s="54"/>
      <c r="I1" s="54"/>
    </row>
    <row r="2" spans="1:11" x14ac:dyDescent="0.2">
      <c r="G2" s="55" t="s">
        <v>0</v>
      </c>
      <c r="H2" s="55"/>
      <c r="I2" s="55"/>
    </row>
    <row r="4" spans="1:11" x14ac:dyDescent="0.2">
      <c r="G4" s="1"/>
    </row>
    <row r="5" spans="1:11" x14ac:dyDescent="0.2">
      <c r="F5" t="s">
        <v>35</v>
      </c>
      <c r="G5" s="16">
        <v>100</v>
      </c>
      <c r="H5" s="17">
        <f>G5/100</f>
        <v>1</v>
      </c>
      <c r="I5" s="15" t="s">
        <v>36</v>
      </c>
    </row>
    <row r="6" spans="1:11" x14ac:dyDescent="0.2">
      <c r="B6" s="2"/>
      <c r="C6" s="2"/>
      <c r="G6" s="3"/>
      <c r="H6" s="4"/>
    </row>
    <row r="7" spans="1:11" ht="15" x14ac:dyDescent="0.25">
      <c r="B7" s="2"/>
      <c r="C7" s="2"/>
      <c r="F7" s="5" t="s">
        <v>1</v>
      </c>
    </row>
    <row r="8" spans="1:11" ht="15" x14ac:dyDescent="0.25">
      <c r="A8" s="5" t="s">
        <v>2</v>
      </c>
    </row>
    <row r="9" spans="1:11" x14ac:dyDescent="0.2">
      <c r="A9" s="6" t="s">
        <v>3</v>
      </c>
      <c r="B9">
        <v>935</v>
      </c>
      <c r="C9" t="s">
        <v>4</v>
      </c>
      <c r="D9" s="25" t="s">
        <v>5</v>
      </c>
      <c r="E9" s="26" t="s">
        <v>6</v>
      </c>
      <c r="F9" s="26" t="s">
        <v>7</v>
      </c>
      <c r="G9" s="27" t="s">
        <v>8</v>
      </c>
      <c r="H9" s="27" t="s">
        <v>9</v>
      </c>
      <c r="I9" s="27" t="s">
        <v>10</v>
      </c>
      <c r="J9" s="27" t="s">
        <v>11</v>
      </c>
      <c r="K9" s="28" t="s">
        <v>37</v>
      </c>
    </row>
    <row r="10" spans="1:11" x14ac:dyDescent="0.2">
      <c r="A10" s="6" t="s">
        <v>12</v>
      </c>
      <c r="B10">
        <v>250</v>
      </c>
      <c r="C10" t="s">
        <v>13</v>
      </c>
      <c r="D10" s="38">
        <v>500</v>
      </c>
      <c r="E10" s="37">
        <v>55</v>
      </c>
      <c r="F10" s="37">
        <v>16</v>
      </c>
      <c r="G10" s="31">
        <f>E10+F10</f>
        <v>71</v>
      </c>
      <c r="H10" s="31">
        <f>G10*$H$5-F10</f>
        <v>55</v>
      </c>
      <c r="I10" s="31">
        <f>2*PI()*D10/60*E10/1000</f>
        <v>2.8797932657906435</v>
      </c>
      <c r="J10" s="31">
        <f t="shared" ref="J10:J25" si="0">$B$36*$B$31*$D10/60/2</f>
        <v>19.342986857014413</v>
      </c>
      <c r="K10" s="32">
        <f>I10/J10</f>
        <v>0.14888048506047216</v>
      </c>
    </row>
    <row r="11" spans="1:11" x14ac:dyDescent="0.2">
      <c r="A11" s="6" t="s">
        <v>14</v>
      </c>
      <c r="B11" s="3">
        <v>0.51</v>
      </c>
      <c r="C11" t="s">
        <v>15</v>
      </c>
      <c r="D11" s="33">
        <v>1000</v>
      </c>
      <c r="E11" s="34">
        <v>78</v>
      </c>
      <c r="F11" s="34">
        <v>18</v>
      </c>
      <c r="G11" s="19">
        <f t="shared" ref="G11:G25" si="1">E11+F11</f>
        <v>96</v>
      </c>
      <c r="H11" s="19">
        <f t="shared" ref="H11:H25" si="2">G11*$H$5-F11</f>
        <v>78</v>
      </c>
      <c r="I11" s="19">
        <f t="shared" ref="I11:I25" si="3">2*PI()*D11/60*E11/1000</f>
        <v>8.1681408993334621</v>
      </c>
      <c r="J11" s="19">
        <f t="shared" si="0"/>
        <v>38.685973714028826</v>
      </c>
      <c r="K11" s="21">
        <f t="shared" ref="K11:K25" si="4">I11/J11</f>
        <v>0.21113959699485144</v>
      </c>
    </row>
    <row r="12" spans="1:11" x14ac:dyDescent="0.2">
      <c r="D12" s="22">
        <v>1500</v>
      </c>
      <c r="E12" s="20">
        <v>83</v>
      </c>
      <c r="F12" s="34">
        <v>20</v>
      </c>
      <c r="G12" s="19">
        <f t="shared" si="1"/>
        <v>103</v>
      </c>
      <c r="H12" s="19">
        <f t="shared" si="2"/>
        <v>83</v>
      </c>
      <c r="I12" s="19">
        <f t="shared" si="3"/>
        <v>13.037609512397642</v>
      </c>
      <c r="J12" s="19">
        <f t="shared" si="0"/>
        <v>58.028960571043243</v>
      </c>
      <c r="K12" s="21">
        <f t="shared" si="4"/>
        <v>0.22467418654580346</v>
      </c>
    </row>
    <row r="13" spans="1:11" x14ac:dyDescent="0.2">
      <c r="D13" s="22">
        <v>2000</v>
      </c>
      <c r="E13" s="20">
        <v>88</v>
      </c>
      <c r="F13" s="34">
        <v>23</v>
      </c>
      <c r="G13" s="19">
        <f t="shared" si="1"/>
        <v>111</v>
      </c>
      <c r="H13" s="19">
        <f t="shared" si="2"/>
        <v>88</v>
      </c>
      <c r="I13" s="19">
        <f t="shared" si="3"/>
        <v>18.430676901060121</v>
      </c>
      <c r="J13" s="19">
        <f t="shared" si="0"/>
        <v>77.371947428057652</v>
      </c>
      <c r="K13" s="21">
        <f t="shared" si="4"/>
        <v>0.23820877609675548</v>
      </c>
    </row>
    <row r="14" spans="1:11" x14ac:dyDescent="0.2">
      <c r="D14" s="22">
        <v>2500</v>
      </c>
      <c r="E14" s="20">
        <v>93</v>
      </c>
      <c r="F14" s="34">
        <v>26</v>
      </c>
      <c r="G14" s="19">
        <f t="shared" si="1"/>
        <v>119</v>
      </c>
      <c r="H14" s="19">
        <f t="shared" si="2"/>
        <v>93</v>
      </c>
      <c r="I14" s="19">
        <f t="shared" si="3"/>
        <v>24.347343065320896</v>
      </c>
      <c r="J14" s="19">
        <f t="shared" si="0"/>
        <v>96.714934285072076</v>
      </c>
      <c r="K14" s="21">
        <f t="shared" si="4"/>
        <v>0.25174336564770744</v>
      </c>
    </row>
    <row r="15" spans="1:11" ht="15" x14ac:dyDescent="0.25">
      <c r="A15" s="5" t="s">
        <v>16</v>
      </c>
      <c r="D15" s="22">
        <v>3000</v>
      </c>
      <c r="E15" s="20">
        <v>97</v>
      </c>
      <c r="F15" s="34">
        <v>30</v>
      </c>
      <c r="G15" s="19">
        <f t="shared" si="1"/>
        <v>127</v>
      </c>
      <c r="H15" s="19">
        <f t="shared" si="2"/>
        <v>97</v>
      </c>
      <c r="I15" s="19">
        <f t="shared" si="3"/>
        <v>30.473448739820991</v>
      </c>
      <c r="J15" s="19">
        <f t="shared" si="0"/>
        <v>116.05792114208649</v>
      </c>
      <c r="K15" s="21">
        <f t="shared" si="4"/>
        <v>0.26257103728846903</v>
      </c>
    </row>
    <row r="16" spans="1:11" x14ac:dyDescent="0.2">
      <c r="A16" s="7" t="s">
        <v>17</v>
      </c>
      <c r="B16" s="8">
        <v>0.28000000000000003</v>
      </c>
      <c r="D16" s="22">
        <v>3500</v>
      </c>
      <c r="E16" s="20">
        <v>102</v>
      </c>
      <c r="F16" s="34">
        <v>35</v>
      </c>
      <c r="G16" s="19">
        <f t="shared" si="1"/>
        <v>137</v>
      </c>
      <c r="H16" s="19">
        <f t="shared" si="2"/>
        <v>102</v>
      </c>
      <c r="I16" s="19">
        <f t="shared" si="3"/>
        <v>37.384952577718536</v>
      </c>
      <c r="J16" s="19">
        <f t="shared" si="0"/>
        <v>135.40090799910089</v>
      </c>
      <c r="K16" s="21">
        <f t="shared" si="4"/>
        <v>0.27610562683942108</v>
      </c>
    </row>
    <row r="17" spans="1:11" x14ac:dyDescent="0.2">
      <c r="A17" s="9" t="s">
        <v>18</v>
      </c>
      <c r="B17" s="10">
        <v>4.1669999999999998</v>
      </c>
      <c r="D17" s="22">
        <v>4000</v>
      </c>
      <c r="E17" s="20">
        <v>105</v>
      </c>
      <c r="F17" s="34">
        <v>40</v>
      </c>
      <c r="G17" s="19">
        <f t="shared" si="1"/>
        <v>145</v>
      </c>
      <c r="H17" s="19">
        <f t="shared" si="2"/>
        <v>105</v>
      </c>
      <c r="I17" s="19">
        <f t="shared" si="3"/>
        <v>43.982297150257104</v>
      </c>
      <c r="J17" s="19">
        <f t="shared" si="0"/>
        <v>154.7438948561153</v>
      </c>
      <c r="K17" s="21">
        <f t="shared" si="4"/>
        <v>0.28422638056999233</v>
      </c>
    </row>
    <row r="18" spans="1:11" x14ac:dyDescent="0.2">
      <c r="A18" s="9">
        <v>1</v>
      </c>
      <c r="B18" s="10">
        <v>3.3079999999999998</v>
      </c>
      <c r="D18" s="22">
        <v>4500</v>
      </c>
      <c r="E18" s="20">
        <v>102</v>
      </c>
      <c r="F18" s="34">
        <v>46</v>
      </c>
      <c r="G18" s="19">
        <f t="shared" si="1"/>
        <v>148</v>
      </c>
      <c r="H18" s="19">
        <f t="shared" si="2"/>
        <v>102</v>
      </c>
      <c r="I18" s="19">
        <f t="shared" si="3"/>
        <v>48.066367599923844</v>
      </c>
      <c r="J18" s="19">
        <f t="shared" si="0"/>
        <v>174.08688171312971</v>
      </c>
      <c r="K18" s="21">
        <f t="shared" si="4"/>
        <v>0.27610562683942114</v>
      </c>
    </row>
    <row r="19" spans="1:11" x14ac:dyDescent="0.2">
      <c r="A19" s="9">
        <v>2</v>
      </c>
      <c r="B19" s="10">
        <v>1.913</v>
      </c>
      <c r="D19" s="22">
        <v>5000</v>
      </c>
      <c r="E19" s="20">
        <v>95</v>
      </c>
      <c r="F19" s="34">
        <v>53</v>
      </c>
      <c r="G19" s="19">
        <f t="shared" si="1"/>
        <v>148</v>
      </c>
      <c r="H19" s="19">
        <f t="shared" si="2"/>
        <v>95</v>
      </c>
      <c r="I19" s="19">
        <f t="shared" si="3"/>
        <v>49.741883681838395</v>
      </c>
      <c r="J19" s="19">
        <f t="shared" si="0"/>
        <v>193.42986857014415</v>
      </c>
      <c r="K19" s="21">
        <f t="shared" si="4"/>
        <v>0.25715720146808829</v>
      </c>
    </row>
    <row r="20" spans="1:11" x14ac:dyDescent="0.2">
      <c r="A20" s="9">
        <v>3</v>
      </c>
      <c r="B20" s="10">
        <v>1.2669999999999999</v>
      </c>
      <c r="D20" s="22">
        <v>5500</v>
      </c>
      <c r="E20" s="20">
        <v>81</v>
      </c>
      <c r="F20" s="34">
        <v>61</v>
      </c>
      <c r="G20" s="19">
        <f t="shared" si="1"/>
        <v>142</v>
      </c>
      <c r="H20" s="19">
        <f t="shared" si="2"/>
        <v>81</v>
      </c>
      <c r="I20" s="19">
        <f t="shared" si="3"/>
        <v>46.652650905808422</v>
      </c>
      <c r="J20" s="19">
        <f t="shared" si="0"/>
        <v>212.77285542715856</v>
      </c>
      <c r="K20" s="21">
        <f t="shared" si="4"/>
        <v>0.2192603507254226</v>
      </c>
    </row>
    <row r="21" spans="1:11" x14ac:dyDescent="0.2">
      <c r="A21" s="9">
        <v>4</v>
      </c>
      <c r="B21" s="10">
        <v>0.92700000000000005</v>
      </c>
      <c r="D21" s="22">
        <v>6000</v>
      </c>
      <c r="E21" s="20">
        <v>70</v>
      </c>
      <c r="F21" s="34">
        <v>70</v>
      </c>
      <c r="G21" s="19">
        <f t="shared" si="1"/>
        <v>140</v>
      </c>
      <c r="H21" s="19">
        <f t="shared" si="2"/>
        <v>70</v>
      </c>
      <c r="I21" s="19">
        <f t="shared" si="3"/>
        <v>43.982297150257111</v>
      </c>
      <c r="J21" s="19">
        <f t="shared" si="0"/>
        <v>232.11584228417297</v>
      </c>
      <c r="K21" s="21">
        <f t="shared" si="4"/>
        <v>0.18948425371332822</v>
      </c>
    </row>
    <row r="22" spans="1:11" x14ac:dyDescent="0.2">
      <c r="A22" s="9">
        <v>5</v>
      </c>
      <c r="B22" s="10">
        <v>0.71699999999999997</v>
      </c>
      <c r="D22" s="33">
        <v>6500</v>
      </c>
      <c r="E22" s="34">
        <v>57</v>
      </c>
      <c r="F22" s="34">
        <v>80</v>
      </c>
      <c r="G22" s="19">
        <f t="shared" si="1"/>
        <v>137</v>
      </c>
      <c r="H22" s="19">
        <f t="shared" si="2"/>
        <v>57</v>
      </c>
      <c r="I22" s="19">
        <f t="shared" si="3"/>
        <v>38.798669271833944</v>
      </c>
      <c r="J22" s="19">
        <f t="shared" si="0"/>
        <v>251.45882914118738</v>
      </c>
      <c r="K22" s="21">
        <f t="shared" si="4"/>
        <v>0.15429432088085296</v>
      </c>
    </row>
    <row r="23" spans="1:11" x14ac:dyDescent="0.2">
      <c r="A23" s="39" t="s">
        <v>19</v>
      </c>
      <c r="B23" s="40">
        <v>2.923</v>
      </c>
      <c r="D23" s="33">
        <v>7000</v>
      </c>
      <c r="E23" s="34">
        <v>41</v>
      </c>
      <c r="F23" s="34">
        <v>92</v>
      </c>
      <c r="G23" s="19">
        <f t="shared" si="1"/>
        <v>133</v>
      </c>
      <c r="H23" s="19">
        <f t="shared" si="2"/>
        <v>41</v>
      </c>
      <c r="I23" s="19">
        <f t="shared" si="3"/>
        <v>30.05456971934235</v>
      </c>
      <c r="J23" s="19">
        <f t="shared" si="0"/>
        <v>270.80181599820179</v>
      </c>
      <c r="K23" s="21">
        <f t="shared" si="4"/>
        <v>0.1109836343178065</v>
      </c>
    </row>
    <row r="24" spans="1:11" x14ac:dyDescent="0.2">
      <c r="D24" s="33">
        <v>7500</v>
      </c>
      <c r="E24" s="34">
        <v>23</v>
      </c>
      <c r="F24" s="34">
        <v>106</v>
      </c>
      <c r="G24" s="19">
        <f t="shared" si="1"/>
        <v>129</v>
      </c>
      <c r="H24" s="19">
        <f t="shared" si="2"/>
        <v>23</v>
      </c>
      <c r="I24" s="19">
        <f t="shared" si="3"/>
        <v>18.06415775814131</v>
      </c>
      <c r="J24" s="19">
        <f t="shared" si="0"/>
        <v>290.1448028552162</v>
      </c>
      <c r="K24" s="21">
        <f t="shared" si="4"/>
        <v>6.225911193437926E-2</v>
      </c>
    </row>
    <row r="25" spans="1:11" ht="15" x14ac:dyDescent="0.25">
      <c r="A25" s="5" t="s">
        <v>20</v>
      </c>
      <c r="D25" s="35">
        <v>8000</v>
      </c>
      <c r="E25" s="36">
        <v>0</v>
      </c>
      <c r="F25" s="36">
        <v>120</v>
      </c>
      <c r="G25" s="23">
        <f t="shared" si="1"/>
        <v>120</v>
      </c>
      <c r="H25" s="23">
        <f t="shared" si="2"/>
        <v>0</v>
      </c>
      <c r="I25" s="23">
        <f t="shared" si="3"/>
        <v>0</v>
      </c>
      <c r="J25" s="23">
        <f t="shared" si="0"/>
        <v>309.48778971223061</v>
      </c>
      <c r="K25" s="24">
        <f t="shared" si="4"/>
        <v>0</v>
      </c>
    </row>
    <row r="26" spans="1:11" x14ac:dyDescent="0.2">
      <c r="A26" s="7" t="s">
        <v>21</v>
      </c>
      <c r="B26" s="11">
        <v>1.01</v>
      </c>
    </row>
    <row r="27" spans="1:11" x14ac:dyDescent="0.2">
      <c r="A27" s="9" t="s">
        <v>22</v>
      </c>
      <c r="B27" s="10">
        <v>8.3140000000000001</v>
      </c>
    </row>
    <row r="28" spans="1:11" x14ac:dyDescent="0.2">
      <c r="A28" s="9" t="s">
        <v>23</v>
      </c>
      <c r="B28" s="12">
        <v>101.325</v>
      </c>
      <c r="G28" s="6" t="s">
        <v>24</v>
      </c>
    </row>
    <row r="29" spans="1:11" x14ac:dyDescent="0.2">
      <c r="A29" s="9" t="s">
        <v>25</v>
      </c>
      <c r="B29" s="10">
        <v>1.2889999999999999</v>
      </c>
      <c r="G29" s="1">
        <v>15</v>
      </c>
      <c r="H29" t="s">
        <v>26</v>
      </c>
    </row>
    <row r="30" spans="1:11" x14ac:dyDescent="0.2">
      <c r="A30" s="9" t="s">
        <v>27</v>
      </c>
      <c r="B30" s="13">
        <v>298</v>
      </c>
      <c r="G30" s="6" t="s">
        <v>28</v>
      </c>
    </row>
    <row r="31" spans="1:11" x14ac:dyDescent="0.2">
      <c r="A31" s="9" t="s">
        <v>29</v>
      </c>
      <c r="B31" s="13">
        <v>46.4</v>
      </c>
      <c r="G31" s="1">
        <v>120</v>
      </c>
      <c r="H31" t="s">
        <v>26</v>
      </c>
    </row>
    <row r="32" spans="1:11" x14ac:dyDescent="0.2">
      <c r="A32" s="9" t="s">
        <v>30</v>
      </c>
      <c r="B32" s="13">
        <v>0.21</v>
      </c>
    </row>
    <row r="33" spans="1:2" x14ac:dyDescent="0.2">
      <c r="A33" s="9" t="s">
        <v>31</v>
      </c>
      <c r="B33" s="13">
        <v>12.5</v>
      </c>
    </row>
    <row r="34" spans="1:2" x14ac:dyDescent="0.2">
      <c r="A34" s="9" t="s">
        <v>32</v>
      </c>
      <c r="B34" s="13">
        <v>114.1</v>
      </c>
    </row>
    <row r="35" spans="1:2" x14ac:dyDescent="0.2">
      <c r="A35" s="14" t="s">
        <v>33</v>
      </c>
      <c r="B35" s="13">
        <v>750</v>
      </c>
    </row>
    <row r="36" spans="1:2" x14ac:dyDescent="0.2">
      <c r="A36" s="29" t="s">
        <v>34</v>
      </c>
      <c r="B36" s="30">
        <f>B28*B29/B27/B30*B32/B26/B33*B34</f>
        <v>0.10004993201904008</v>
      </c>
    </row>
  </sheetData>
  <mergeCells count="2">
    <mergeCell ref="G1:I1"/>
    <mergeCell ref="G2:I2"/>
  </mergeCells>
  <pageMargins left="0" right="0" top="0.39409448818897636" bottom="0.39409448818897636" header="0" footer="0"/>
  <headerFooter>
    <oddHeader>&amp;C&amp;A</oddHeader>
    <oddFooter>&amp;CPage &amp;P</oddFooter>
  </headerFooter>
  <drawing r:id="rId1"/>
  <legacyDrawing r:id="rId2"/>
  <controls>
    <mc:AlternateContent xmlns:mc="http://schemas.openxmlformats.org/markup-compatibility/2006">
      <mc:Choice Requires="x14">
        <control shapeId="1026" r:id="rId3" name="ScrollBar1">
          <controlPr defaultSize="0" autoLine="0" linkedCell="G5" r:id="rId4">
            <anchor moveWithCells="1">
              <from>
                <xdr:col>6</xdr:col>
                <xdr:colOff>9525</xdr:colOff>
                <xdr:row>3</xdr:row>
                <xdr:rowOff>152400</xdr:rowOff>
              </from>
              <to>
                <xdr:col>8</xdr:col>
                <xdr:colOff>0</xdr:colOff>
                <xdr:row>5</xdr:row>
                <xdr:rowOff>19050</xdr:rowOff>
              </to>
            </anchor>
          </controlPr>
        </control>
      </mc:Choice>
      <mc:Fallback>
        <control shapeId="1026" r:id="rId3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1157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Feldata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Jiri Zbytovsky</cp:lastModifiedBy>
  <cp:revision>101</cp:revision>
  <dcterms:created xsi:type="dcterms:W3CDTF">2009-04-16T11:32:48Z</dcterms:created>
  <dcterms:modified xsi:type="dcterms:W3CDTF">2020-01-04T23:53:31Z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